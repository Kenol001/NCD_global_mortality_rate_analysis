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19FB3008-E624-46BF-B726-735310E7B36A}" xr6:coauthVersionLast="36" xr6:coauthVersionMax="36" xr10:uidLastSave="{00000000-0000-0000-0000-000000000000}"/>
  <bookViews>
    <workbookView xWindow="0" yWindow="0" windowWidth="23040" windowHeight="9060" xr2:uid="{A8D08360-7E07-46F8-AEB1-CF7D95542BD7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 l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<sst xmlns="http://schemas.openxmlformats.org/spreadsheetml/2006/main" count="24" uniqueCount="24">
  <si>
    <t xml:space="preserve">            Data Quality Summary</t>
  </si>
  <si>
    <t>Data Quality Check</t>
  </si>
  <si>
    <t>Result</t>
  </si>
  <si>
    <t>Status</t>
  </si>
  <si>
    <t>Total Records</t>
  </si>
  <si>
    <t>Total Columns</t>
  </si>
  <si>
    <t>Blank IndicatorCode</t>
  </si>
  <si>
    <t>Blank Indicator</t>
  </si>
  <si>
    <t>Blank ParentLocation</t>
  </si>
  <si>
    <t>Blank Location</t>
  </si>
  <si>
    <t>Blank Period</t>
  </si>
  <si>
    <t>Blank FactValueNumeric</t>
  </si>
  <si>
    <t>Blank FactValueNumericLow</t>
  </si>
  <si>
    <t>Blank FactValueNumericHigh</t>
  </si>
  <si>
    <t>Blank Value</t>
  </si>
  <si>
    <t>Blank Language</t>
  </si>
  <si>
    <t>Blank DateModified</t>
  </si>
  <si>
    <t>Duplicate Records</t>
  </si>
  <si>
    <t>Negative Values</t>
  </si>
  <si>
    <t>Maximum Mortality Rate</t>
  </si>
  <si>
    <t>Minimum Mortality Rate</t>
  </si>
  <si>
    <t>Average Mortality Rate</t>
  </si>
  <si>
    <t>Number of WHO Regions</t>
  </si>
  <si>
    <t>Number of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</si>
</sst>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CD_global_mortality_rate_cle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3"/>
      <sheetName val="Sheet2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9F60C-CC56-4EBA-9207-30C4C84D7B40}">
  <dimension ref="A1:C28"/>
  <sheetViews>
    <sheetView tabSelected="1" workbookViewId="0">
      <selection activeCell="K16" sqref="K16"/>
    </sheetView>
  </sheetViews>
  <sheetFormatPr defaultRowHeight="14.4" x14ac:dyDescent="0.3"/>
  <sheetData>
    <row r="1" spans="1:3" x14ac:dyDescent="0.3">
      <c r="A1" s="1" t="s">
        <v>0</v>
      </c>
      <c r="B1" s="2"/>
      <c r="C1" s="3"/>
    </row>
    <row r="2" spans="1:3" x14ac:dyDescent="0.3">
      <c r="A2" s="4" t="s">
        <v>1</v>
      </c>
      <c r="B2" s="5" t="s">
        <v>2</v>
      </c>
      <c r="C2" s="6" t="s">
        <v>3</v>
      </c>
    </row>
    <row r="3" spans="1:3" x14ac:dyDescent="0.3">
      <c r="A3" s="1" t="s">
        <v>4</v>
      </c>
      <c r="B3" s="2">
        <f>ROWS([1]!NCD_global_mortality_rate[#Data])</f>
        <v>4070</v>
      </c>
      <c r="C3" s="3">
        <v>1</v>
      </c>
    </row>
    <row r="4" spans="1:3" x14ac:dyDescent="0.3">
      <c r="A4" s="4" t="s">
        <v>5</v>
      </c>
      <c r="B4" s="5">
        <f>COLUMNS([1]!NCD_global_mortality_rate[#Data])</f>
        <v>21</v>
      </c>
      <c r="C4" s="3">
        <v>1</v>
      </c>
    </row>
    <row r="5" spans="1:3" x14ac:dyDescent="0.3">
      <c r="A5" s="1" t="s">
        <v>6</v>
      </c>
      <c r="B5" s="2">
        <f>COUNTBLANK([1]!NCD_global_mortality_rate[IndicatorCode])</f>
        <v>0</v>
      </c>
      <c r="C5" s="3">
        <v>1</v>
      </c>
    </row>
    <row r="6" spans="1:3" x14ac:dyDescent="0.3">
      <c r="A6" s="4" t="s">
        <v>7</v>
      </c>
      <c r="B6" s="5">
        <f>COUNTBLANK([1]!NCD_global_mortality_rate[Indicator])</f>
        <v>0</v>
      </c>
      <c r="C6" s="3">
        <v>1</v>
      </c>
    </row>
    <row r="7" spans="1:3" x14ac:dyDescent="0.3">
      <c r="A7" s="1" t="s">
        <v>8</v>
      </c>
      <c r="B7" s="2">
        <f>COUNTBLANK([1]!NCD_global_mortality_rate[ParentLocation])</f>
        <v>0</v>
      </c>
      <c r="C7" s="3">
        <v>1</v>
      </c>
    </row>
    <row r="8" spans="1:3" x14ac:dyDescent="0.3">
      <c r="A8" s="4" t="s">
        <v>9</v>
      </c>
      <c r="B8" s="5">
        <f>COUNTBLANK([1]!NCD_global_mortality_rate[Period])</f>
        <v>0</v>
      </c>
      <c r="C8" s="3">
        <v>1</v>
      </c>
    </row>
    <row r="9" spans="1:3" x14ac:dyDescent="0.3">
      <c r="A9" s="1" t="s">
        <v>10</v>
      </c>
      <c r="B9" s="2">
        <f>COUNTBLANK([1]!NCD_global_mortality_rate[Period])</f>
        <v>0</v>
      </c>
      <c r="C9" s="3">
        <v>1</v>
      </c>
    </row>
    <row r="10" spans="1:3" x14ac:dyDescent="0.3">
      <c r="A10" s="4" t="s">
        <v>11</v>
      </c>
      <c r="B10" s="5">
        <f>COUNTBLANK([1]!NCD_global_mortality_rate[FactValueNumeric])</f>
        <v>0</v>
      </c>
      <c r="C10" s="3">
        <v>1</v>
      </c>
    </row>
    <row r="11" spans="1:3" x14ac:dyDescent="0.3">
      <c r="A11" s="1" t="s">
        <v>12</v>
      </c>
      <c r="B11" s="2">
        <f>COUNTBLANK([1]!NCD_global_mortality_rate[FactValueNumericLow])</f>
        <v>0</v>
      </c>
      <c r="C11" s="3">
        <v>1</v>
      </c>
    </row>
    <row r="12" spans="1:3" x14ac:dyDescent="0.3">
      <c r="A12" s="4" t="s">
        <v>13</v>
      </c>
      <c r="B12" s="5">
        <f>COUNTBLANK([1]!NCD_global_mortality_rate[FactValueNumericHigh])</f>
        <v>0</v>
      </c>
      <c r="C12" s="3">
        <v>1</v>
      </c>
    </row>
    <row r="13" spans="1:3" x14ac:dyDescent="0.3">
      <c r="A13" s="1" t="s">
        <v>14</v>
      </c>
      <c r="B13" s="2">
        <f>COUNTBLANK([1]!NCD_global_mortality_rate[Value])</f>
        <v>0</v>
      </c>
      <c r="C13" s="3">
        <v>1</v>
      </c>
    </row>
    <row r="14" spans="1:3" x14ac:dyDescent="0.3">
      <c r="A14" s="4" t="s">
        <v>15</v>
      </c>
      <c r="B14" s="5">
        <f>COUNTBLANK([1]!NCD_global_mortality_rate[Language])</f>
        <v>0</v>
      </c>
      <c r="C14" s="3">
        <v>1</v>
      </c>
    </row>
    <row r="15" spans="1:3" x14ac:dyDescent="0.3">
      <c r="A15" s="1" t="s">
        <v>16</v>
      </c>
      <c r="B15" s="2">
        <f>COUNTBLANK([1]!NCD_global_mortality_rate[DateModified])</f>
        <v>0</v>
      </c>
      <c r="C15" s="3">
        <v>1</v>
      </c>
    </row>
    <row r="16" spans="1:3" x14ac:dyDescent="0.3">
      <c r="A16" s="4" t="s">
        <v>17</v>
      </c>
      <c r="B16" s="5">
        <f>COUNTIF([1]!NCD_global_mortality_rate[DuplicateCheck],"&gt;1")</f>
        <v>0</v>
      </c>
      <c r="C16" s="3">
        <v>1</v>
      </c>
    </row>
    <row r="17" spans="1:3" x14ac:dyDescent="0.3">
      <c r="A17" s="1" t="s">
        <v>18</v>
      </c>
      <c r="B17" s="2">
        <f>COUNTIF([1]!NCD_global_mortality_rate[FactValueNumeric],"&lt;0")</f>
        <v>0</v>
      </c>
      <c r="C17" s="3">
        <v>1</v>
      </c>
    </row>
    <row r="18" spans="1:3" x14ac:dyDescent="0.3">
      <c r="A18" s="4" t="s">
        <v>19</v>
      </c>
      <c r="B18" s="5">
        <f>MAX([1]!NCD_global_mortality_rate[FactValueNumeric])</f>
        <v>1334</v>
      </c>
      <c r="C18" s="3">
        <v>1</v>
      </c>
    </row>
    <row r="19" spans="1:3" x14ac:dyDescent="0.3">
      <c r="A19" s="1" t="s">
        <v>20</v>
      </c>
      <c r="B19" s="2">
        <f>MIN([1]!NCD_global_mortality_rate[FactValueNumeric])</f>
        <v>219.3</v>
      </c>
      <c r="C19" s="3">
        <v>1</v>
      </c>
    </row>
    <row r="20" spans="1:3" x14ac:dyDescent="0.3">
      <c r="A20" s="4" t="s">
        <v>21</v>
      </c>
      <c r="B20" s="5">
        <f>AVERAGE([1]!NCD_global_mortality_rate[FactValueNumeric])</f>
        <v>586.01179361179402</v>
      </c>
      <c r="C20" s="3">
        <v>1</v>
      </c>
    </row>
    <row r="21" spans="1:3" x14ac:dyDescent="0.3">
      <c r="A21" s="1" t="s">
        <v>22</v>
      </c>
      <c r="B21" s="2">
        <f>SUMPRODUCT(([1]!NCD_global_mortality_rate[ParentLocation]&lt;&gt;"")/COUNTIF([1]!NCD_global_mortality_rate[ParentLocation],[1]!NCD_global_mortality_rate[ParentLocation]&amp;""))</f>
        <v>6.0000000000000684</v>
      </c>
      <c r="C21" s="3">
        <v>1</v>
      </c>
    </row>
    <row r="22" spans="1:3" x14ac:dyDescent="0.3">
      <c r="A22" s="4" t="s">
        <v>23</v>
      </c>
      <c r="B22" s="5">
        <f>SUMPRODUCT(([1]!NCD_global_mortality_rate[Location]&lt;&gt;"")/COUNTIF([1]!NCD_global_mortality_rate[Location],[1]!NCD_global_mortality_rate[Location]&amp;""))</f>
        <v>184.99999999998693</v>
      </c>
      <c r="C22" s="3">
        <v>1</v>
      </c>
    </row>
    <row r="23" spans="1:3" x14ac:dyDescent="0.3">
      <c r="A23" s="1"/>
      <c r="B23" s="2"/>
      <c r="C23" s="3"/>
    </row>
    <row r="24" spans="1:3" x14ac:dyDescent="0.3">
      <c r="A24" s="4"/>
      <c r="B24" s="5"/>
      <c r="C24" s="6"/>
    </row>
    <row r="25" spans="1:3" x14ac:dyDescent="0.3">
      <c r="A25" s="1"/>
      <c r="B25" s="2"/>
      <c r="C25" s="3"/>
    </row>
    <row r="26" spans="1:3" x14ac:dyDescent="0.3">
      <c r="A26" s="4"/>
      <c r="B26" s="5"/>
      <c r="C26" s="6"/>
    </row>
    <row r="27" spans="1:3" x14ac:dyDescent="0.3">
      <c r="A27" s="1"/>
      <c r="B27" s="2"/>
      <c r="C27" s="3"/>
    </row>
    <row r="28" spans="1:3" x14ac:dyDescent="0.3">
      <c r="A28" s="4"/>
      <c r="B28" s="5"/>
      <c r="C28" s="6"/>
    </row>
  </sheetData>
  <conditionalFormatting sqref="C3:C22">
    <cfRule type="iconSet" priority="4">
      <iconSet iconSet="3Symbols">
        <cfvo type="percent" val="0"/>
        <cfvo type="percent" val="33"/>
        <cfvo type="percent" val="67"/>
      </iconSet>
    </cfRule>
    <cfRule type="iconSet" priority="3">
      <iconSet iconSet="3Symbols">
        <cfvo type="percent" val="0"/>
        <cfvo type="formula" val="&quot;fail&quot;"/>
        <cfvo type="formula" val="&quot;pass&quot;"/>
      </iconSet>
    </cfRule>
    <cfRule type="iconSet" priority="1">
      <iconSet iconSet="3Symbols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2026-07-09T00:54:15Z</dcterms:created>
  <dcterms:modified xsi:type="dcterms:W3CDTF">2026-07-09T01:05:31Z</dcterms:modified>
</cp:coreProperties>
</file>